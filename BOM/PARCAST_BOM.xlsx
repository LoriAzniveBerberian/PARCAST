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oriberberian/Desktop/PARcast/BOM/"/>
    </mc:Choice>
  </mc:AlternateContent>
  <xr:revisionPtr revIDLastSave="0" documentId="13_ncr:1_{3AE881CA-BBC6-6A4C-903D-6F9CD41BF3BD}" xr6:coauthVersionLast="47" xr6:coauthVersionMax="47" xr10:uidLastSave="{00000000-0000-0000-0000-000000000000}"/>
  <bookViews>
    <workbookView xWindow="0" yWindow="760" windowWidth="30240" windowHeight="17540" tabRatio="500" xr2:uid="{00000000-000D-0000-FFFF-FFFF00000000}"/>
  </bookViews>
  <sheets>
    <sheet name="Ed profiler" sheetId="1" r:id="rId1"/>
    <sheet name="Es surface referen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2" l="1"/>
  <c r="H19" i="2"/>
  <c r="H17" i="2"/>
  <c r="H15" i="2"/>
  <c r="H14" i="2"/>
  <c r="H13" i="2"/>
  <c r="G12" i="2"/>
  <c r="H12" i="2" s="1"/>
  <c r="H11" i="2"/>
  <c r="G10" i="2"/>
  <c r="H10" i="2" s="1"/>
  <c r="H8" i="2"/>
  <c r="H7" i="2"/>
  <c r="G5" i="2"/>
  <c r="H5" i="2" s="1"/>
  <c r="H4" i="2"/>
  <c r="H50" i="1"/>
  <c r="H49" i="1"/>
  <c r="H48" i="1"/>
  <c r="H47" i="1"/>
  <c r="H46" i="1"/>
  <c r="H45" i="1"/>
  <c r="H43" i="1"/>
  <c r="H42" i="1"/>
  <c r="H41" i="1"/>
  <c r="H40" i="1"/>
  <c r="G39" i="1"/>
  <c r="H39" i="1" s="1"/>
  <c r="H37" i="1"/>
  <c r="H36" i="1"/>
  <c r="H34" i="1"/>
  <c r="H33" i="1"/>
  <c r="H32" i="1"/>
  <c r="H30" i="1"/>
  <c r="H29" i="1"/>
  <c r="H28" i="1"/>
  <c r="H27" i="1"/>
  <c r="H26" i="1"/>
  <c r="H25" i="1"/>
  <c r="H24" i="1"/>
  <c r="H23" i="1"/>
  <c r="H22" i="1"/>
  <c r="G21" i="1"/>
  <c r="H21" i="1" s="1"/>
  <c r="H20" i="1"/>
  <c r="G19" i="1"/>
  <c r="H19" i="1" s="1"/>
  <c r="G18" i="1"/>
  <c r="H18" i="1" s="1"/>
  <c r="H16" i="1"/>
  <c r="H15" i="1"/>
  <c r="H14" i="1"/>
  <c r="H12" i="1"/>
  <c r="H11" i="1"/>
  <c r="H10" i="1"/>
  <c r="H8" i="1"/>
  <c r="H7" i="1"/>
  <c r="H6" i="1"/>
  <c r="H5" i="1"/>
  <c r="H4" i="1"/>
  <c r="H22" i="2" l="1"/>
  <c r="H53" i="1"/>
  <c r="H52" i="1"/>
</calcChain>
</file>

<file path=xl/sharedStrings.xml><?xml version="1.0" encoding="utf-8"?>
<sst xmlns="http://schemas.openxmlformats.org/spreadsheetml/2006/main" count="251" uniqueCount="195">
  <si>
    <t>Item</t>
  </si>
  <si>
    <t>Part</t>
  </si>
  <si>
    <t>Qty</t>
  </si>
  <si>
    <t>Part number</t>
  </si>
  <si>
    <t>Size (mm)</t>
  </si>
  <si>
    <t>Purchase link</t>
  </si>
  <si>
    <t>Unit price (USD)</t>
  </si>
  <si>
    <t>Line total (USD)</t>
  </si>
  <si>
    <t>1.1</t>
  </si>
  <si>
    <t>Locking tube, cast acrylic, 100 m</t>
  </si>
  <si>
    <t>BR-101052-300</t>
  </si>
  <si>
    <t>114.3 OD x 101.6 ID x 300</t>
  </si>
  <si>
    <t>https://bluerobotics.com/store/watertight-enclosures/locking-series/wte-locking-tube-r1-vp/</t>
  </si>
  <si>
    <t>1.2</t>
  </si>
  <si>
    <t>O-ring sealing flange, 4 in</t>
  </si>
  <si>
    <t>BR-101040</t>
  </si>
  <si>
    <t>114.3 dia x 27 (19.1 inside tube)</t>
  </si>
  <si>
    <t>https://bluerobotics.com/store/watertight-enclosures/locking-series/wte-flange-vp/</t>
  </si>
  <si>
    <t>1.3</t>
  </si>
  <si>
    <t>End cap, aluminium, 5 x M10, 1000 m</t>
  </si>
  <si>
    <t>WTE4-M-END-CAP-5-HOLE</t>
  </si>
  <si>
    <t>10 thick; 120.3 dia (CAD)</t>
  </si>
  <si>
    <t>https://bluerobotics.com/store/watertight-enclosures/locking-series/wte-end-cap-vp/</t>
  </si>
  <si>
    <t>1.4</t>
  </si>
  <si>
    <t>End cap, dome, optically clear polycarbonate, 500 m</t>
  </si>
  <si>
    <t>120.3 dia x 12.7 (CAD)</t>
  </si>
  <si>
    <t>1.5</t>
  </si>
  <si>
    <t>Heat shrink sleeve, 120 mm dia</t>
  </si>
  <si>
    <t>120 dia (191 flat width) x 1000</t>
  </si>
  <si>
    <t>2.1</t>
  </si>
  <si>
    <t>Pressure relief valve, M10</t>
  </si>
  <si>
    <t>PRV-M10</t>
  </si>
  <si>
    <t>M10 thread; 18 dia x 49.5 (CAD)</t>
  </si>
  <si>
    <t>https://bluerobotics.com/store/watertight-enclosures/enclosure-tools-supplies/prv-m10-asm/</t>
  </si>
  <si>
    <t>2.2</t>
  </si>
  <si>
    <t>Depth / pressure sensor, Bar30, 0-30 bar</t>
  </si>
  <si>
    <t>BR-100586</t>
  </si>
  <si>
    <t>M10 x 1.5 thread; 16 dia x 32 (CAD)</t>
  </si>
  <si>
    <t>https://bluerobotics.com/product-category/sensors-cameras/sensors/</t>
  </si>
  <si>
    <t>2.3</t>
  </si>
  <si>
    <t>WetLink penetrator, JPT M10, 4.5 mm HC, 3.7-4.3 mm cable</t>
  </si>
  <si>
    <t>BR-107163-145</t>
  </si>
  <si>
    <t>M10 bulkhead, 3.7-4.3 cable; 16 A/F x 49 (CAD)</t>
  </si>
  <si>
    <t>https://bluerobotics.com/store/cables-connectors/penetrators/wetlink-penetrator-jpt/</t>
  </si>
  <si>
    <t>3.1</t>
  </si>
  <si>
    <t>Rail, 300 W</t>
  </si>
  <si>
    <t>BR-102784-301</t>
  </si>
  <si>
    <t>20 x 7.09 x 231 (CAD)</t>
  </si>
  <si>
    <t>https://bluerobotics.com/store/watertight-enclosures/locking-series/watertight-enclosure-rails/</t>
  </si>
  <si>
    <t>3.2</t>
  </si>
  <si>
    <t>Rectangular tray, 4 in</t>
  </si>
  <si>
    <t>BR-103291-400</t>
  </si>
  <si>
    <t>87 x 68 x 6 (CAD)</t>
  </si>
  <si>
    <t>3.3</t>
  </si>
  <si>
    <t>Tray accessory mounting screws</t>
  </si>
  <si>
    <t>M3 x 0.5</t>
  </si>
  <si>
    <t>https://bluerobotics.com/product-category/watertight-enclosures/locking-series/</t>
  </si>
  <si>
    <t>4.1</t>
  </si>
  <si>
    <t>Breadboard, 830-point solderless</t>
  </si>
  <si>
    <t>ELEGOO 830-point</t>
  </si>
  <si>
    <t>830 tie-points; not listed by vendor</t>
  </si>
  <si>
    <t>4.2</t>
  </si>
  <si>
    <t>4.3</t>
  </si>
  <si>
    <t>Teensy 4.1 microcontroller</t>
  </si>
  <si>
    <t>Adafruit 4622 (PJRC Teensy 4.1)</t>
  </si>
  <si>
    <t>61 x 18 (2.4 x 0.7 in)</t>
  </si>
  <si>
    <t>https://www.adafruit.com/product/4622</t>
  </si>
  <si>
    <t>4.4</t>
  </si>
  <si>
    <t>ADS1115 16-bit I2C ADC module</t>
  </si>
  <si>
    <t>Qoroos ADS1115 (3-pack)</t>
  </si>
  <si>
    <t>not listed by vendor</t>
  </si>
  <si>
    <t>https://www.amazon.com/dp/B0F1D3KGG2</t>
  </si>
  <si>
    <t>4.5</t>
  </si>
  <si>
    <t>DS3231 precision RTC</t>
  </si>
  <si>
    <t>Adafruit 3013</t>
  </si>
  <si>
    <t>23 x 17.6 x 7.2</t>
  </si>
  <si>
    <t>https://www.adafruit.com/product/3013</t>
  </si>
  <si>
    <t>4.6</t>
  </si>
  <si>
    <t>LSM6DSOX + LIS3MDL 9-DoF IMU</t>
  </si>
  <si>
    <t>Adafruit 4517</t>
  </si>
  <si>
    <t>25.4 x 17.8 x 4.7 (CAD)</t>
  </si>
  <si>
    <t>https://www.adafruit.com/product/4517</t>
  </si>
  <si>
    <t>4.7</t>
  </si>
  <si>
    <t>Screw terminal, 3-way</t>
  </si>
  <si>
    <t>15 x 12 x 10 (CAD placeholder)</t>
  </si>
  <si>
    <t>4.8</t>
  </si>
  <si>
    <t>microSD card, 128 GB, Gigastone</t>
  </si>
  <si>
    <t>microSD standard, 15 x 11 x 1.0</t>
  </si>
  <si>
    <t>4.9</t>
  </si>
  <si>
    <t>CR1220 coin cell (RTC backup)</t>
  </si>
  <si>
    <t>12 dia x 2.0</t>
  </si>
  <si>
    <t>4.10</t>
  </si>
  <si>
    <t>Male header strips, female headers, F/F jumper wires</t>
  </si>
  <si>
    <t>Adafruit 392, Adafruit 3141, HiLetgo 1x40</t>
  </si>
  <si>
    <t>2.54 pitch; jumpers 150 long</t>
  </si>
  <si>
    <t>https://www.adafruit.com/product/392</t>
  </si>
  <si>
    <t>4.11</t>
  </si>
  <si>
    <t>USB-C to micro-USB cable, 6 in</t>
  </si>
  <si>
    <t>152 length (6 in)</t>
  </si>
  <si>
    <t>https://www.amazon.com/dp/B0CMLS2MB1</t>
  </si>
  <si>
    <t>4.12</t>
  </si>
  <si>
    <t>V25 USB battery pack</t>
  </si>
  <si>
    <t>Voltaic V25</t>
  </si>
  <si>
    <t>80 x 82 x 24</t>
  </si>
  <si>
    <t>https://voltaicsystems.com/v25/</t>
  </si>
  <si>
    <t>4.13</t>
  </si>
  <si>
    <t>Hookup wire, 22 AWG solid core (6 colours x 30 ft)</t>
  </si>
  <si>
    <t>22 AWG; 6 x 9.1 m (30 ft)</t>
  </si>
  <si>
    <t>5.1</t>
  </si>
  <si>
    <t>Enclosure cradle half</t>
  </si>
  <si>
    <t>BR-102678-004</t>
  </si>
  <si>
    <t>144.9 x 62.8 x 30 (CAD)</t>
  </si>
  <si>
    <t>https://bluerobotics.com/store/rov/bluerov2-components-spares/brov2-asm-cradle-set-r1-rp/</t>
  </si>
  <si>
    <t>5.2</t>
  </si>
  <si>
    <t>Tether cleat, aluminium</t>
  </si>
  <si>
    <t>custom</t>
  </si>
  <si>
    <t>72 x 55 x 6, 13 dia M12 bore (CAD)</t>
  </si>
  <si>
    <t>5.3</t>
  </si>
  <si>
    <t>M12 tether hardware (bolt, nuts, washers)</t>
  </si>
  <si>
    <t>M12 x 1.75</t>
  </si>
  <si>
    <t>6.1</t>
  </si>
  <si>
    <t>Apogee SQ-500-SS quantum sensor</t>
  </si>
  <si>
    <t>SQ-500-SS</t>
  </si>
  <si>
    <t>30.5 dia x 36.6</t>
  </si>
  <si>
    <t>https://www.apogeeinstruments.com/sq-500-ss-full-spectrum-quantum-sensor/</t>
  </si>
  <si>
    <t>6.2</t>
  </si>
  <si>
    <t>58.5 x 30.5 x 44.5 (CAD)</t>
  </si>
  <si>
    <t>7.1</t>
  </si>
  <si>
    <t>Ballast discs, stainless, 1/4 in</t>
  </si>
  <si>
    <t>76.2 dia x 6.35 (3 x 1/4 in)</t>
  </si>
  <si>
    <t>7.2</t>
  </si>
  <si>
    <t>Trim ballast discs, stainless, 2 mm (5-pack)</t>
  </si>
  <si>
    <t>76.2 dia x 2 (3 in)</t>
  </si>
  <si>
    <t>7.3</t>
  </si>
  <si>
    <t>Trim ballast discs, stainless, 1 mm (5-pack)</t>
  </si>
  <si>
    <t>76.2 dia x 1 (3 in)</t>
  </si>
  <si>
    <t>7.4</t>
  </si>
  <si>
    <t>Trim ballast discs, stainless, 0.5 mm (5-pack)</t>
  </si>
  <si>
    <t>76.2 dia x 0.5 (3 in)</t>
  </si>
  <si>
    <t>7.5</t>
  </si>
  <si>
    <t>Closed-cell foam, Minicell, black</t>
  </si>
  <si>
    <t>610 x 305 x 114 (24 x 12 x 4.5 in)</t>
  </si>
  <si>
    <t>8.1</t>
  </si>
  <si>
    <t>Float line, 100 ft, 550 lb (MIMIRACLE)</t>
  </si>
  <si>
    <t>30.5 m (100 ft), 550 lb test</t>
  </si>
  <si>
    <t>8.2</t>
  </si>
  <si>
    <t>Float line, 50 ft, 550 lb (MIMIRACLE)</t>
  </si>
  <si>
    <t>15.2 m (50 ft), 550 lb test</t>
  </si>
  <si>
    <t>8.3</t>
  </si>
  <si>
    <t>Picasso Hydro Float</t>
  </si>
  <si>
    <t>https://www.spearamerica.com/products/picasso-hydro-float</t>
  </si>
  <si>
    <t>8.4</t>
  </si>
  <si>
    <t>SpearPro 316 marine stainless bow shackle</t>
  </si>
  <si>
    <t>5/32 in</t>
  </si>
  <si>
    <t>https://www.spearamerica.com/products/316-marine-stainless-bow-shackle</t>
  </si>
  <si>
    <t>8.5</t>
  </si>
  <si>
    <t>SpearPro tuna clip with swivel</t>
  </si>
  <si>
    <t>https://www.spearamerica.com/products/tuna-clip-with-swivel</t>
  </si>
  <si>
    <t>8.6</t>
  </si>
  <si>
    <t>SpearPro pigtail swivel, 600 lb</t>
  </si>
  <si>
    <t>600 lb rated</t>
  </si>
  <si>
    <t>https://www.spearamerica.com/products/spearpro-pigtail-swivel-600lb</t>
  </si>
  <si>
    <t>TOTAL</t>
  </si>
  <si>
    <t>Optional accessories (not in TOTAL)</t>
  </si>
  <si>
    <t>Weatherproof project box, QILIPSU IP67 ABS</t>
  </si>
  <si>
    <t>175 x 124 x 99 (6.9 x 4.9 x 3.9 in)</t>
  </si>
  <si>
    <t>Cable gland, 1/4 in NPT, IP68 nylon</t>
  </si>
  <si>
    <t>1/4 in NPT</t>
  </si>
  <si>
    <t>Apogee AL-100 solar sensor leveling plate</t>
  </si>
  <si>
    <t>AL-100</t>
  </si>
  <si>
    <t>https://www.apogeeinstruments.com/al-100-solar-sensor-leveling-plate/</t>
  </si>
  <si>
    <t>3.4</t>
  </si>
  <si>
    <t>3.5</t>
  </si>
  <si>
    <t>3.6</t>
  </si>
  <si>
    <t>Antenna pole mount bracket, double U-bracket</t>
  </si>
  <si>
    <t>MOOKEERF</t>
  </si>
  <si>
    <t>Industrial velcro strips</t>
  </si>
  <si>
    <t>102 x 51 (4 x 2 in)</t>
  </si>
  <si>
    <t>PARCAST: E_d(z) in-water profiler, Bill of Materials</t>
  </si>
  <si>
    <t>1. Pressure housing</t>
  </si>
  <si>
    <t>2. Cap hardware (5 x M10 ports, 56.0 mm bolt circle, 72 deg apart)</t>
  </si>
  <si>
    <t>3. Internal structure</t>
  </si>
  <si>
    <t>4. Electronics</t>
  </si>
  <si>
    <t>5. External mounting</t>
  </si>
  <si>
    <t>6. Optical sensor</t>
  </si>
  <si>
    <t>7. Deployment</t>
  </si>
  <si>
    <t>8. Optional deployment accessories (choose per application; not included in TOTAL)</t>
  </si>
  <si>
    <t>Z-bracket riser</t>
  </si>
  <si>
    <t>custom, 3D printed</t>
  </si>
  <si>
    <t>PARCAST: E_s(PAR) surface reference, Bill of Materials</t>
  </si>
  <si>
    <t>1. Enclosure</t>
  </si>
  <si>
    <t>2.  Optical sensor</t>
  </si>
  <si>
    <t>3. Electronics</t>
  </si>
  <si>
    <t>4. Power</t>
  </si>
  <si>
    <t>5.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</si>
</sst>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/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164" fontId="7" fillId="0" borderId="1" xfId="0" applyNumberFormat="1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C1" zoomScaleNormal="100" workbookViewId="0">
      <pane ySplit="2" topLeftCell="A20" activePane="bottomLeft" state="frozen"/>
      <selection pane="bottomLeft" activeCell="D29" sqref="D29"/>
    </sheetView>
  </sheetViews>
  <sheetFormatPr baseColWidth="10" defaultColWidth="8.6640625" defaultRowHeight="15" x14ac:dyDescent="0.2"/>
  <cols>
    <col min="1" max="1" width="7" customWidth="1"/>
    <col min="2" max="2" width="42" customWidth="1"/>
    <col min="3" max="3" width="6" customWidth="1"/>
    <col min="4" max="4" width="26" customWidth="1"/>
    <col min="5" max="5" width="32" customWidth="1"/>
    <col min="6" max="6" width="44" customWidth="1"/>
    <col min="7" max="8" width="17" customWidth="1"/>
  </cols>
  <sheetData>
    <row r="1" spans="1:8" ht="17.25" customHeight="1" x14ac:dyDescent="0.2">
      <c r="A1" s="1" t="s">
        <v>178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5" customHeight="1" x14ac:dyDescent="0.2">
      <c r="A3" s="4" t="s">
        <v>179</v>
      </c>
      <c r="B3" s="5"/>
      <c r="C3" s="5"/>
      <c r="D3" s="5"/>
      <c r="E3" s="5"/>
      <c r="F3" s="5"/>
      <c r="G3" s="5"/>
      <c r="H3" s="5"/>
    </row>
    <row r="4" spans="1:8" ht="15" customHeight="1" x14ac:dyDescent="0.2">
      <c r="A4" s="6" t="s">
        <v>8</v>
      </c>
      <c r="B4" s="7" t="s">
        <v>9</v>
      </c>
      <c r="C4" s="6">
        <v>1</v>
      </c>
      <c r="D4" s="6" t="s">
        <v>10</v>
      </c>
      <c r="E4" s="7" t="s">
        <v>11</v>
      </c>
      <c r="F4" s="8" t="s">
        <v>12</v>
      </c>
      <c r="G4" s="9">
        <v>230</v>
      </c>
      <c r="H4" s="9">
        <f>IF(G4="","",C4*G4)</f>
        <v>230</v>
      </c>
    </row>
    <row r="5" spans="1:8" ht="15" customHeight="1" x14ac:dyDescent="0.2">
      <c r="A5" s="6" t="s">
        <v>13</v>
      </c>
      <c r="B5" s="7" t="s">
        <v>14</v>
      </c>
      <c r="C5" s="6">
        <v>2</v>
      </c>
      <c r="D5" s="6" t="s">
        <v>15</v>
      </c>
      <c r="E5" s="7" t="s">
        <v>16</v>
      </c>
      <c r="F5" s="8" t="s">
        <v>17</v>
      </c>
      <c r="G5" s="9">
        <v>50</v>
      </c>
      <c r="H5" s="9">
        <f>IF(G5="","",C5*G5)</f>
        <v>100</v>
      </c>
    </row>
    <row r="6" spans="1:8" ht="15" customHeight="1" x14ac:dyDescent="0.2">
      <c r="A6" s="6" t="s">
        <v>18</v>
      </c>
      <c r="B6" s="7" t="s">
        <v>19</v>
      </c>
      <c r="C6" s="6">
        <v>1</v>
      </c>
      <c r="D6" s="6" t="s">
        <v>20</v>
      </c>
      <c r="E6" s="7" t="s">
        <v>21</v>
      </c>
      <c r="F6" s="8" t="s">
        <v>22</v>
      </c>
      <c r="G6" s="9">
        <v>36</v>
      </c>
      <c r="H6" s="9">
        <f>IF(G6="","",C6*G6)</f>
        <v>36</v>
      </c>
    </row>
    <row r="7" spans="1:8" ht="15" customHeight="1" x14ac:dyDescent="0.2">
      <c r="A7" s="6" t="s">
        <v>23</v>
      </c>
      <c r="B7" s="7" t="s">
        <v>24</v>
      </c>
      <c r="C7" s="6">
        <v>1</v>
      </c>
      <c r="D7" s="6"/>
      <c r="E7" s="7" t="s">
        <v>25</v>
      </c>
      <c r="F7" s="8" t="s">
        <v>22</v>
      </c>
      <c r="G7" s="9">
        <v>42</v>
      </c>
      <c r="H7" s="9">
        <f>IF(G7="","",C7*G7)</f>
        <v>42</v>
      </c>
    </row>
    <row r="8" spans="1:8" ht="15" customHeight="1" x14ac:dyDescent="0.2">
      <c r="A8" s="6" t="s">
        <v>26</v>
      </c>
      <c r="B8" s="7" t="s">
        <v>27</v>
      </c>
      <c r="C8" s="6">
        <v>1</v>
      </c>
      <c r="D8" s="6"/>
      <c r="E8" s="7" t="s">
        <v>28</v>
      </c>
      <c r="F8" s="8"/>
      <c r="G8" s="9">
        <v>15.09</v>
      </c>
      <c r="H8" s="9">
        <f>IF(G8="","",C8*G8)</f>
        <v>15.09</v>
      </c>
    </row>
    <row r="9" spans="1:8" ht="15" customHeight="1" x14ac:dyDescent="0.2">
      <c r="A9" s="4" t="s">
        <v>180</v>
      </c>
      <c r="B9" s="5"/>
      <c r="C9" s="5"/>
      <c r="D9" s="5"/>
      <c r="E9" s="5"/>
      <c r="F9" s="5"/>
      <c r="G9" s="5"/>
      <c r="H9" s="5"/>
    </row>
    <row r="10" spans="1:8" ht="15" customHeight="1" x14ac:dyDescent="0.2">
      <c r="A10" s="6" t="s">
        <v>29</v>
      </c>
      <c r="B10" s="7" t="s">
        <v>30</v>
      </c>
      <c r="C10" s="6">
        <v>1</v>
      </c>
      <c r="D10" s="6" t="s">
        <v>31</v>
      </c>
      <c r="E10" s="7" t="s">
        <v>32</v>
      </c>
      <c r="F10" s="8" t="s">
        <v>33</v>
      </c>
      <c r="G10" s="9">
        <v>32</v>
      </c>
      <c r="H10" s="9">
        <f>IF(G10="","",C10*G10)</f>
        <v>32</v>
      </c>
    </row>
    <row r="11" spans="1:8" ht="15" customHeight="1" x14ac:dyDescent="0.2">
      <c r="A11" s="6" t="s">
        <v>34</v>
      </c>
      <c r="B11" s="7" t="s">
        <v>35</v>
      </c>
      <c r="C11" s="6">
        <v>1</v>
      </c>
      <c r="D11" s="6" t="s">
        <v>36</v>
      </c>
      <c r="E11" s="7" t="s">
        <v>37</v>
      </c>
      <c r="F11" s="8" t="s">
        <v>38</v>
      </c>
      <c r="G11" s="9">
        <v>90</v>
      </c>
      <c r="H11" s="9">
        <f>IF(G11="","",C11*G11)</f>
        <v>90</v>
      </c>
    </row>
    <row r="12" spans="1:8" ht="15" customHeight="1" x14ac:dyDescent="0.2">
      <c r="A12" s="6" t="s">
        <v>39</v>
      </c>
      <c r="B12" s="7" t="s">
        <v>40</v>
      </c>
      <c r="C12" s="6">
        <v>3</v>
      </c>
      <c r="D12" s="6" t="s">
        <v>41</v>
      </c>
      <c r="E12" s="7" t="s">
        <v>42</v>
      </c>
      <c r="F12" s="8" t="s">
        <v>43</v>
      </c>
      <c r="G12" s="9">
        <v>13</v>
      </c>
      <c r="H12" s="9">
        <f>IF(G12="","",C12*G12)</f>
        <v>39</v>
      </c>
    </row>
    <row r="13" spans="1:8" ht="15" customHeight="1" x14ac:dyDescent="0.2">
      <c r="A13" s="4" t="s">
        <v>181</v>
      </c>
      <c r="B13" s="5"/>
      <c r="C13" s="5"/>
      <c r="D13" s="5"/>
      <c r="E13" s="5"/>
      <c r="F13" s="5"/>
      <c r="G13" s="5"/>
      <c r="H13" s="5"/>
    </row>
    <row r="14" spans="1:8" ht="15" customHeight="1" x14ac:dyDescent="0.2">
      <c r="A14" s="6" t="s">
        <v>44</v>
      </c>
      <c r="B14" s="7" t="s">
        <v>45</v>
      </c>
      <c r="C14" s="6">
        <v>2</v>
      </c>
      <c r="D14" s="6" t="s">
        <v>46</v>
      </c>
      <c r="E14" s="7" t="s">
        <v>47</v>
      </c>
      <c r="F14" s="8" t="s">
        <v>48</v>
      </c>
      <c r="G14" s="9"/>
      <c r="H14" s="9" t="str">
        <f>IF(G14="","",C14*G14)</f>
        <v/>
      </c>
    </row>
    <row r="15" spans="1:8" ht="15" customHeight="1" x14ac:dyDescent="0.2">
      <c r="A15" s="6" t="s">
        <v>49</v>
      </c>
      <c r="B15" s="7" t="s">
        <v>50</v>
      </c>
      <c r="C15" s="6">
        <v>3</v>
      </c>
      <c r="D15" s="6" t="s">
        <v>51</v>
      </c>
      <c r="E15" s="7" t="s">
        <v>52</v>
      </c>
      <c r="F15" s="8" t="s">
        <v>48</v>
      </c>
      <c r="G15" s="9">
        <v>24</v>
      </c>
      <c r="H15" s="9">
        <f>IF(G15="","",C15*G15)</f>
        <v>72</v>
      </c>
    </row>
    <row r="16" spans="1:8" ht="15" customHeight="1" x14ac:dyDescent="0.2">
      <c r="A16" s="6" t="s">
        <v>53</v>
      </c>
      <c r="B16" s="7" t="s">
        <v>54</v>
      </c>
      <c r="C16" s="6">
        <v>1</v>
      </c>
      <c r="D16" s="6"/>
      <c r="E16" s="7" t="s">
        <v>55</v>
      </c>
      <c r="F16" s="8" t="s">
        <v>56</v>
      </c>
      <c r="G16" s="9">
        <v>3</v>
      </c>
      <c r="H16" s="9">
        <f>IF(G16="","",C16*G16)</f>
        <v>3</v>
      </c>
    </row>
    <row r="17" spans="1:8" ht="15" customHeight="1" x14ac:dyDescent="0.2">
      <c r="A17" s="4" t="s">
        <v>182</v>
      </c>
      <c r="B17" s="5"/>
      <c r="C17" s="5"/>
      <c r="D17" s="5"/>
      <c r="E17" s="5"/>
      <c r="F17" s="5"/>
      <c r="G17" s="5"/>
      <c r="H17" s="5"/>
    </row>
    <row r="18" spans="1:8" ht="15" customHeight="1" x14ac:dyDescent="0.2">
      <c r="A18" s="6" t="s">
        <v>57</v>
      </c>
      <c r="B18" s="7" t="s">
        <v>58</v>
      </c>
      <c r="C18" s="6">
        <v>1</v>
      </c>
      <c r="D18" s="6" t="s">
        <v>59</v>
      </c>
      <c r="E18" s="7" t="s">
        <v>60</v>
      </c>
      <c r="F18" s="8"/>
      <c r="G18" s="9">
        <f>8.99/3</f>
        <v>2.9966666666666666</v>
      </c>
      <c r="H18" s="9">
        <f t="shared" ref="H18:H30" si="0">IF(G18="","",C18*G18)</f>
        <v>2.9966666666666666</v>
      </c>
    </row>
    <row r="19" spans="1:8" ht="15" customHeight="1" x14ac:dyDescent="0.2">
      <c r="A19" s="6" t="s">
        <v>61</v>
      </c>
      <c r="B19" s="7" t="s">
        <v>58</v>
      </c>
      <c r="C19" s="6">
        <v>1</v>
      </c>
      <c r="D19" s="6" t="s">
        <v>59</v>
      </c>
      <c r="E19" s="7" t="s">
        <v>60</v>
      </c>
      <c r="F19" s="8"/>
      <c r="G19" s="9">
        <f>8.99/3</f>
        <v>2.9966666666666666</v>
      </c>
      <c r="H19" s="9">
        <f t="shared" si="0"/>
        <v>2.9966666666666666</v>
      </c>
    </row>
    <row r="20" spans="1:8" ht="15" customHeight="1" x14ac:dyDescent="0.2">
      <c r="A20" s="6" t="s">
        <v>62</v>
      </c>
      <c r="B20" s="7" t="s">
        <v>63</v>
      </c>
      <c r="C20" s="6">
        <v>1</v>
      </c>
      <c r="D20" s="6" t="s">
        <v>64</v>
      </c>
      <c r="E20" s="7" t="s">
        <v>65</v>
      </c>
      <c r="F20" s="8" t="s">
        <v>66</v>
      </c>
      <c r="G20" s="9">
        <v>29.95</v>
      </c>
      <c r="H20" s="9">
        <f t="shared" si="0"/>
        <v>29.95</v>
      </c>
    </row>
    <row r="21" spans="1:8" ht="15" customHeight="1" x14ac:dyDescent="0.2">
      <c r="A21" s="6" t="s">
        <v>67</v>
      </c>
      <c r="B21" s="7" t="s">
        <v>68</v>
      </c>
      <c r="C21" s="6">
        <v>1</v>
      </c>
      <c r="D21" s="6" t="s">
        <v>69</v>
      </c>
      <c r="E21" s="7" t="s">
        <v>70</v>
      </c>
      <c r="F21" s="8" t="s">
        <v>71</v>
      </c>
      <c r="G21" s="9">
        <f>12.88/3</f>
        <v>4.2933333333333339</v>
      </c>
      <c r="H21" s="9">
        <f t="shared" si="0"/>
        <v>4.2933333333333339</v>
      </c>
    </row>
    <row r="22" spans="1:8" ht="15" customHeight="1" x14ac:dyDescent="0.2">
      <c r="A22" s="6" t="s">
        <v>72</v>
      </c>
      <c r="B22" s="7" t="s">
        <v>73</v>
      </c>
      <c r="C22" s="6">
        <v>1</v>
      </c>
      <c r="D22" s="6" t="s">
        <v>74</v>
      </c>
      <c r="E22" s="7" t="s">
        <v>75</v>
      </c>
      <c r="F22" s="8" t="s">
        <v>76</v>
      </c>
      <c r="G22" s="9">
        <v>17.5</v>
      </c>
      <c r="H22" s="9">
        <f t="shared" si="0"/>
        <v>17.5</v>
      </c>
    </row>
    <row r="23" spans="1:8" ht="15" customHeight="1" x14ac:dyDescent="0.2">
      <c r="A23" s="6" t="s">
        <v>77</v>
      </c>
      <c r="B23" s="7" t="s">
        <v>78</v>
      </c>
      <c r="C23" s="6">
        <v>1</v>
      </c>
      <c r="D23" s="6" t="s">
        <v>79</v>
      </c>
      <c r="E23" s="7" t="s">
        <v>80</v>
      </c>
      <c r="F23" s="8" t="s">
        <v>81</v>
      </c>
      <c r="G23" s="9">
        <v>19.95</v>
      </c>
      <c r="H23" s="9">
        <f t="shared" si="0"/>
        <v>19.95</v>
      </c>
    </row>
    <row r="24" spans="1:8" ht="15" customHeight="1" x14ac:dyDescent="0.2">
      <c r="A24" s="6" t="s">
        <v>82</v>
      </c>
      <c r="B24" s="7" t="s">
        <v>83</v>
      </c>
      <c r="C24" s="6">
        <v>1</v>
      </c>
      <c r="D24" s="6"/>
      <c r="E24" s="7" t="s">
        <v>84</v>
      </c>
      <c r="F24" s="8"/>
      <c r="G24" s="9"/>
      <c r="H24" s="9" t="str">
        <f t="shared" si="0"/>
        <v/>
      </c>
    </row>
    <row r="25" spans="1:8" ht="15" customHeight="1" x14ac:dyDescent="0.2">
      <c r="A25" s="6" t="s">
        <v>85</v>
      </c>
      <c r="B25" s="7" t="s">
        <v>86</v>
      </c>
      <c r="C25" s="6">
        <v>1</v>
      </c>
      <c r="D25" s="6"/>
      <c r="E25" s="7" t="s">
        <v>87</v>
      </c>
      <c r="F25" s="8"/>
      <c r="G25" s="9">
        <v>24.49</v>
      </c>
      <c r="H25" s="9">
        <f t="shared" si="0"/>
        <v>24.49</v>
      </c>
    </row>
    <row r="26" spans="1:8" ht="15" customHeight="1" x14ac:dyDescent="0.2">
      <c r="A26" s="6" t="s">
        <v>88</v>
      </c>
      <c r="B26" s="7" t="s">
        <v>89</v>
      </c>
      <c r="C26" s="6">
        <v>1</v>
      </c>
      <c r="D26" s="6"/>
      <c r="E26" s="7" t="s">
        <v>90</v>
      </c>
      <c r="F26" s="8"/>
      <c r="G26" s="9"/>
      <c r="H26" s="9" t="str">
        <f t="shared" si="0"/>
        <v/>
      </c>
    </row>
    <row r="27" spans="1:8" ht="15" customHeight="1" x14ac:dyDescent="0.2">
      <c r="A27" s="6" t="s">
        <v>91</v>
      </c>
      <c r="B27" s="7" t="s">
        <v>92</v>
      </c>
      <c r="C27" s="6">
        <v>1</v>
      </c>
      <c r="D27" s="6" t="s">
        <v>93</v>
      </c>
      <c r="E27" s="7" t="s">
        <v>94</v>
      </c>
      <c r="F27" s="8" t="s">
        <v>95</v>
      </c>
      <c r="G27" s="9">
        <v>13.89</v>
      </c>
      <c r="H27" s="9">
        <f t="shared" si="0"/>
        <v>13.89</v>
      </c>
    </row>
    <row r="28" spans="1:8" ht="15" customHeight="1" x14ac:dyDescent="0.2">
      <c r="A28" s="6" t="s">
        <v>96</v>
      </c>
      <c r="B28" s="7" t="s">
        <v>97</v>
      </c>
      <c r="C28" s="6">
        <v>1</v>
      </c>
      <c r="D28" s="6"/>
      <c r="E28" s="7" t="s">
        <v>98</v>
      </c>
      <c r="F28" s="8" t="s">
        <v>99</v>
      </c>
      <c r="G28" s="9">
        <v>12.16</v>
      </c>
      <c r="H28" s="9">
        <f t="shared" si="0"/>
        <v>12.16</v>
      </c>
    </row>
    <row r="29" spans="1:8" ht="15" customHeight="1" x14ac:dyDescent="0.2">
      <c r="A29" s="6" t="s">
        <v>100</v>
      </c>
      <c r="B29" s="7" t="s">
        <v>101</v>
      </c>
      <c r="C29" s="6">
        <v>1</v>
      </c>
      <c r="D29" s="6" t="s">
        <v>102</v>
      </c>
      <c r="E29" s="7" t="s">
        <v>103</v>
      </c>
      <c r="F29" s="8" t="s">
        <v>104</v>
      </c>
      <c r="G29" s="9">
        <v>45</v>
      </c>
      <c r="H29" s="9">
        <f t="shared" si="0"/>
        <v>45</v>
      </c>
    </row>
    <row r="30" spans="1:8" ht="15" customHeight="1" x14ac:dyDescent="0.2">
      <c r="A30" s="6" t="s">
        <v>105</v>
      </c>
      <c r="B30" s="7" t="s">
        <v>106</v>
      </c>
      <c r="C30" s="6">
        <v>1</v>
      </c>
      <c r="D30" s="6"/>
      <c r="E30" s="7" t="s">
        <v>107</v>
      </c>
      <c r="F30" s="8"/>
      <c r="G30" s="9">
        <v>15.89</v>
      </c>
      <c r="H30" s="9">
        <f t="shared" si="0"/>
        <v>15.89</v>
      </c>
    </row>
    <row r="31" spans="1:8" ht="23.25" customHeight="1" x14ac:dyDescent="0.2">
      <c r="A31" s="4" t="s">
        <v>183</v>
      </c>
      <c r="B31" s="5"/>
      <c r="C31" s="5"/>
      <c r="D31" s="5"/>
      <c r="E31" s="5"/>
      <c r="F31" s="5"/>
      <c r="G31" s="5"/>
      <c r="H31" s="5"/>
    </row>
    <row r="32" spans="1:8" ht="15" customHeight="1" x14ac:dyDescent="0.2">
      <c r="A32" s="6" t="s">
        <v>108</v>
      </c>
      <c r="B32" s="7" t="s">
        <v>109</v>
      </c>
      <c r="C32" s="6">
        <v>2</v>
      </c>
      <c r="D32" s="6" t="s">
        <v>110</v>
      </c>
      <c r="E32" s="7" t="s">
        <v>111</v>
      </c>
      <c r="F32" s="8" t="s">
        <v>112</v>
      </c>
      <c r="G32" s="9"/>
      <c r="H32" s="9" t="str">
        <f>IF(G32="","",C32*G32)</f>
        <v/>
      </c>
    </row>
    <row r="33" spans="1:8" ht="15" customHeight="1" x14ac:dyDescent="0.2">
      <c r="A33" s="6" t="s">
        <v>113</v>
      </c>
      <c r="B33" s="7" t="s">
        <v>114</v>
      </c>
      <c r="C33" s="6">
        <v>2</v>
      </c>
      <c r="D33" s="6" t="s">
        <v>115</v>
      </c>
      <c r="E33" s="7" t="s">
        <v>116</v>
      </c>
      <c r="F33" s="8"/>
      <c r="G33" s="9"/>
      <c r="H33" s="9" t="str">
        <f>IF(G33="","",C33*G33)</f>
        <v/>
      </c>
    </row>
    <row r="34" spans="1:8" ht="15" customHeight="1" x14ac:dyDescent="0.2">
      <c r="A34" s="6" t="s">
        <v>117</v>
      </c>
      <c r="B34" s="7" t="s">
        <v>118</v>
      </c>
      <c r="C34" s="6">
        <v>1</v>
      </c>
      <c r="D34" s="6"/>
      <c r="E34" s="7" t="s">
        <v>119</v>
      </c>
      <c r="F34" s="8"/>
      <c r="G34" s="9"/>
      <c r="H34" s="9" t="str">
        <f>IF(G34="","",C34*G34)</f>
        <v/>
      </c>
    </row>
    <row r="35" spans="1:8" ht="15" customHeight="1" x14ac:dyDescent="0.2">
      <c r="A35" s="4" t="s">
        <v>184</v>
      </c>
      <c r="B35" s="5"/>
      <c r="C35" s="5"/>
      <c r="D35" s="5"/>
      <c r="E35" s="5"/>
      <c r="F35" s="5"/>
      <c r="G35" s="5"/>
      <c r="H35" s="5"/>
    </row>
    <row r="36" spans="1:8" ht="15" customHeight="1" x14ac:dyDescent="0.2">
      <c r="A36" s="6" t="s">
        <v>120</v>
      </c>
      <c r="B36" s="7" t="s">
        <v>121</v>
      </c>
      <c r="C36" s="6">
        <v>1</v>
      </c>
      <c r="D36" s="6" t="s">
        <v>122</v>
      </c>
      <c r="E36" s="7" t="s">
        <v>123</v>
      </c>
      <c r="F36" s="8" t="s">
        <v>124</v>
      </c>
      <c r="G36" s="9">
        <v>416.12</v>
      </c>
      <c r="H36" s="9">
        <f>IF(G36="","",C36*G36)</f>
        <v>416.12</v>
      </c>
    </row>
    <row r="37" spans="1:8" ht="15" customHeight="1" x14ac:dyDescent="0.2">
      <c r="A37" s="6" t="s">
        <v>125</v>
      </c>
      <c r="B37" s="12" t="s">
        <v>187</v>
      </c>
      <c r="C37" s="6">
        <v>1</v>
      </c>
      <c r="D37" s="13" t="s">
        <v>188</v>
      </c>
      <c r="E37" s="12" t="s">
        <v>126</v>
      </c>
      <c r="F37" s="8"/>
      <c r="G37" s="9"/>
      <c r="H37" s="9" t="str">
        <f>IF(G37="","",C37*G37)</f>
        <v/>
      </c>
    </row>
    <row r="38" spans="1:8" ht="15" customHeight="1" x14ac:dyDescent="0.2">
      <c r="A38" s="4" t="s">
        <v>185</v>
      </c>
      <c r="B38" s="5"/>
      <c r="C38" s="5"/>
      <c r="D38" s="5"/>
      <c r="E38" s="5"/>
      <c r="F38" s="5"/>
      <c r="G38" s="5"/>
      <c r="H38" s="5"/>
    </row>
    <row r="39" spans="1:8" ht="15" customHeight="1" x14ac:dyDescent="0.2">
      <c r="A39" s="6" t="s">
        <v>127</v>
      </c>
      <c r="B39" s="7" t="s">
        <v>128</v>
      </c>
      <c r="C39" s="6">
        <v>10</v>
      </c>
      <c r="D39" s="6"/>
      <c r="E39" s="7" t="s">
        <v>129</v>
      </c>
      <c r="F39" s="8"/>
      <c r="G39" s="9">
        <f>17.99/2</f>
        <v>8.9949999999999992</v>
      </c>
      <c r="H39" s="9">
        <f>IF(G39="","",C39*G39)</f>
        <v>89.949999999999989</v>
      </c>
    </row>
    <row r="40" spans="1:8" ht="15" customHeight="1" x14ac:dyDescent="0.2">
      <c r="A40" s="6" t="s">
        <v>130</v>
      </c>
      <c r="B40" s="7" t="s">
        <v>131</v>
      </c>
      <c r="C40" s="6">
        <v>1</v>
      </c>
      <c r="D40" s="6"/>
      <c r="E40" s="7" t="s">
        <v>132</v>
      </c>
      <c r="F40" s="8"/>
      <c r="G40" s="9">
        <v>15.75</v>
      </c>
      <c r="H40" s="9">
        <f>IF(G40="","",C40*G40)</f>
        <v>15.75</v>
      </c>
    </row>
    <row r="41" spans="1:8" ht="15" customHeight="1" x14ac:dyDescent="0.2">
      <c r="A41" s="6" t="s">
        <v>133</v>
      </c>
      <c r="B41" s="7" t="s">
        <v>134</v>
      </c>
      <c r="C41" s="6">
        <v>1</v>
      </c>
      <c r="D41" s="6"/>
      <c r="E41" s="7" t="s">
        <v>135</v>
      </c>
      <c r="F41" s="8"/>
      <c r="G41" s="9">
        <v>11.01</v>
      </c>
      <c r="H41" s="9">
        <f>IF(G41="","",C41*G41)</f>
        <v>11.01</v>
      </c>
    </row>
    <row r="42" spans="1:8" ht="15" customHeight="1" x14ac:dyDescent="0.2">
      <c r="A42" s="6" t="s">
        <v>136</v>
      </c>
      <c r="B42" s="7" t="s">
        <v>137</v>
      </c>
      <c r="C42" s="6">
        <v>1</v>
      </c>
      <c r="D42" s="6"/>
      <c r="E42" s="7" t="s">
        <v>138</v>
      </c>
      <c r="F42" s="8"/>
      <c r="G42" s="9">
        <v>8.23</v>
      </c>
      <c r="H42" s="9">
        <f>IF(G42="","",C42*G42)</f>
        <v>8.23</v>
      </c>
    </row>
    <row r="43" spans="1:8" ht="15" customHeight="1" x14ac:dyDescent="0.2">
      <c r="A43" s="6" t="s">
        <v>139</v>
      </c>
      <c r="B43" s="7" t="s">
        <v>140</v>
      </c>
      <c r="C43" s="6">
        <v>1</v>
      </c>
      <c r="D43" s="6"/>
      <c r="E43" s="7" t="s">
        <v>141</v>
      </c>
      <c r="F43" s="8"/>
      <c r="G43" s="9">
        <v>38.85</v>
      </c>
      <c r="H43" s="9">
        <f>IF(G43="","",C43*G43)</f>
        <v>38.85</v>
      </c>
    </row>
    <row r="44" spans="1:8" ht="15" customHeight="1" x14ac:dyDescent="0.2">
      <c r="A44" s="4" t="s">
        <v>186</v>
      </c>
      <c r="B44" s="5"/>
      <c r="C44" s="5"/>
      <c r="D44" s="5"/>
      <c r="E44" s="5"/>
      <c r="F44" s="5"/>
      <c r="G44" s="5"/>
      <c r="H44" s="5"/>
    </row>
    <row r="45" spans="1:8" ht="15" customHeight="1" x14ac:dyDescent="0.2">
      <c r="A45" s="6" t="s">
        <v>142</v>
      </c>
      <c r="B45" s="7" t="s">
        <v>143</v>
      </c>
      <c r="C45" s="6">
        <v>1</v>
      </c>
      <c r="D45" s="6"/>
      <c r="E45" s="7" t="s">
        <v>144</v>
      </c>
      <c r="F45" s="8"/>
      <c r="G45" s="9">
        <v>99.99</v>
      </c>
      <c r="H45" s="9">
        <f t="shared" ref="H45:H50" si="1">IF(G45="","",C45*G45)</f>
        <v>99.99</v>
      </c>
    </row>
    <row r="46" spans="1:8" ht="15" customHeight="1" x14ac:dyDescent="0.2">
      <c r="A46" s="6" t="s">
        <v>145</v>
      </c>
      <c r="B46" s="7" t="s">
        <v>146</v>
      </c>
      <c r="C46" s="6">
        <v>1</v>
      </c>
      <c r="D46" s="6"/>
      <c r="E46" s="7" t="s">
        <v>147</v>
      </c>
      <c r="F46" s="8"/>
      <c r="G46" s="9">
        <v>69.989999999999995</v>
      </c>
      <c r="H46" s="9">
        <f t="shared" si="1"/>
        <v>69.989999999999995</v>
      </c>
    </row>
    <row r="47" spans="1:8" ht="15" customHeight="1" x14ac:dyDescent="0.2">
      <c r="A47" s="6" t="s">
        <v>148</v>
      </c>
      <c r="B47" s="7" t="s">
        <v>149</v>
      </c>
      <c r="C47" s="6">
        <v>2</v>
      </c>
      <c r="D47" s="6"/>
      <c r="E47" s="7" t="s">
        <v>70</v>
      </c>
      <c r="F47" s="8" t="s">
        <v>150</v>
      </c>
      <c r="G47" s="9">
        <v>58.95</v>
      </c>
      <c r="H47" s="9">
        <f t="shared" si="1"/>
        <v>117.9</v>
      </c>
    </row>
    <row r="48" spans="1:8" ht="15" customHeight="1" x14ac:dyDescent="0.2">
      <c r="A48" s="6" t="s">
        <v>151</v>
      </c>
      <c r="B48" s="7" t="s">
        <v>152</v>
      </c>
      <c r="C48" s="6">
        <v>1</v>
      </c>
      <c r="D48" s="6"/>
      <c r="E48" s="7" t="s">
        <v>153</v>
      </c>
      <c r="F48" s="8" t="s">
        <v>154</v>
      </c>
      <c r="G48" s="9">
        <v>5.95</v>
      </c>
      <c r="H48" s="9">
        <f t="shared" si="1"/>
        <v>5.95</v>
      </c>
    </row>
    <row r="49" spans="1:8" ht="23.25" customHeight="1" x14ac:dyDescent="0.2">
      <c r="A49" s="6" t="s">
        <v>155</v>
      </c>
      <c r="B49" s="12" t="s">
        <v>156</v>
      </c>
      <c r="C49" s="6">
        <v>2</v>
      </c>
      <c r="D49" s="6"/>
      <c r="E49" s="7" t="s">
        <v>70</v>
      </c>
      <c r="F49" s="8" t="s">
        <v>157</v>
      </c>
      <c r="G49" s="9">
        <v>5.95</v>
      </c>
      <c r="H49" s="9">
        <f t="shared" si="1"/>
        <v>11.9</v>
      </c>
    </row>
    <row r="50" spans="1:8" ht="15" customHeight="1" x14ac:dyDescent="0.2">
      <c r="A50" s="6" t="s">
        <v>158</v>
      </c>
      <c r="B50" s="7" t="s">
        <v>159</v>
      </c>
      <c r="C50" s="6">
        <v>1</v>
      </c>
      <c r="D50" s="6"/>
      <c r="E50" s="7" t="s">
        <v>160</v>
      </c>
      <c r="F50" s="8" t="s">
        <v>161</v>
      </c>
      <c r="G50" s="9">
        <v>4.95</v>
      </c>
      <c r="H50" s="9">
        <f t="shared" si="1"/>
        <v>4.95</v>
      </c>
    </row>
    <row r="51" spans="1:8" ht="15" customHeight="1" x14ac:dyDescent="0.2">
      <c r="A51" s="2"/>
      <c r="B51" s="2"/>
      <c r="C51" s="2"/>
      <c r="D51" s="2"/>
      <c r="E51" s="2"/>
      <c r="F51" s="2"/>
      <c r="G51" s="2"/>
      <c r="H51" s="2"/>
    </row>
    <row r="52" spans="1:8" ht="15" customHeight="1" x14ac:dyDescent="0.2">
      <c r="A52" s="2"/>
      <c r="B52" s="10" t="s">
        <v>162</v>
      </c>
      <c r="C52" s="2"/>
      <c r="D52" s="2"/>
      <c r="E52" s="2"/>
      <c r="F52" s="2"/>
      <c r="G52" s="2"/>
      <c r="H52" s="11">
        <f>SUM(H4:H43)</f>
        <v>1428.1166666666666</v>
      </c>
    </row>
    <row r="53" spans="1:8" ht="15" customHeight="1" x14ac:dyDescent="0.2">
      <c r="A53" s="2"/>
      <c r="B53" s="10" t="s">
        <v>163</v>
      </c>
      <c r="C53" s="2"/>
      <c r="D53" s="2"/>
      <c r="E53" s="2"/>
      <c r="F53" s="2"/>
      <c r="G53" s="2"/>
      <c r="H53" s="11">
        <f>SUM(H45:H50)</f>
        <v>310.67999999999995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Normal="100" workbookViewId="0">
      <pane ySplit="2" topLeftCell="A3" activePane="bottomLeft" state="frozen"/>
      <selection pane="bottomLeft" activeCell="B25" sqref="B25"/>
    </sheetView>
  </sheetViews>
  <sheetFormatPr baseColWidth="10" defaultColWidth="8.6640625" defaultRowHeight="15" x14ac:dyDescent="0.2"/>
  <cols>
    <col min="1" max="1" width="7" customWidth="1"/>
    <col min="2" max="2" width="42" customWidth="1"/>
    <col min="3" max="3" width="6" customWidth="1"/>
    <col min="4" max="4" width="26" customWidth="1"/>
    <col min="5" max="5" width="32" customWidth="1"/>
    <col min="6" max="6" width="44" customWidth="1"/>
    <col min="7" max="8" width="17" customWidth="1"/>
  </cols>
  <sheetData>
    <row r="1" spans="1:8" ht="17.25" customHeight="1" x14ac:dyDescent="0.2">
      <c r="A1" s="1" t="s">
        <v>189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</row>
    <row r="3" spans="1:8" ht="15" customHeight="1" x14ac:dyDescent="0.2">
      <c r="A3" s="4" t="s">
        <v>190</v>
      </c>
      <c r="B3" s="5"/>
      <c r="C3" s="5"/>
      <c r="D3" s="5"/>
      <c r="E3" s="5"/>
      <c r="F3" s="5"/>
      <c r="G3" s="5"/>
      <c r="H3" s="5"/>
    </row>
    <row r="4" spans="1:8" ht="15" customHeight="1" x14ac:dyDescent="0.2">
      <c r="A4" s="6" t="s">
        <v>8</v>
      </c>
      <c r="B4" s="7" t="s">
        <v>164</v>
      </c>
      <c r="C4" s="6">
        <v>1</v>
      </c>
      <c r="D4" s="6"/>
      <c r="E4" s="7" t="s">
        <v>165</v>
      </c>
      <c r="F4" s="8"/>
      <c r="G4" s="9">
        <v>15.99</v>
      </c>
      <c r="H4" s="9">
        <f>IF(G4="","",C4*G4)</f>
        <v>15.99</v>
      </c>
    </row>
    <row r="5" spans="1:8" ht="15" customHeight="1" x14ac:dyDescent="0.2">
      <c r="A5" s="6" t="s">
        <v>13</v>
      </c>
      <c r="B5" s="7" t="s">
        <v>166</v>
      </c>
      <c r="C5" s="6">
        <v>2</v>
      </c>
      <c r="D5" s="6"/>
      <c r="E5" s="7" t="s">
        <v>167</v>
      </c>
      <c r="F5" s="8"/>
      <c r="G5" s="9">
        <f>8.99/12</f>
        <v>0.74916666666666665</v>
      </c>
      <c r="H5" s="9">
        <f>IF(G5="","",C5*G5)</f>
        <v>1.4983333333333333</v>
      </c>
    </row>
    <row r="6" spans="1:8" ht="15" customHeight="1" x14ac:dyDescent="0.2">
      <c r="A6" s="4" t="s">
        <v>191</v>
      </c>
      <c r="B6" s="5"/>
      <c r="C6" s="5"/>
      <c r="D6" s="5"/>
      <c r="E6" s="5"/>
      <c r="F6" s="5"/>
      <c r="G6" s="5"/>
      <c r="H6" s="5"/>
    </row>
    <row r="7" spans="1:8" ht="15" customHeight="1" x14ac:dyDescent="0.2">
      <c r="A7" s="6" t="s">
        <v>29</v>
      </c>
      <c r="B7" s="7" t="s">
        <v>121</v>
      </c>
      <c r="C7" s="6">
        <v>1</v>
      </c>
      <c r="D7" s="6" t="s">
        <v>122</v>
      </c>
      <c r="E7" s="7" t="s">
        <v>123</v>
      </c>
      <c r="F7" s="8" t="s">
        <v>124</v>
      </c>
      <c r="G7" s="9">
        <v>416.12</v>
      </c>
      <c r="H7" s="9">
        <f>IF(G7="","",C7*G7)</f>
        <v>416.12</v>
      </c>
    </row>
    <row r="8" spans="1:8" ht="15" customHeight="1" x14ac:dyDescent="0.2">
      <c r="A8" s="6" t="s">
        <v>34</v>
      </c>
      <c r="B8" s="7" t="s">
        <v>168</v>
      </c>
      <c r="C8" s="6">
        <v>1</v>
      </c>
      <c r="D8" s="6" t="s">
        <v>169</v>
      </c>
      <c r="E8" s="7" t="s">
        <v>70</v>
      </c>
      <c r="F8" s="8" t="s">
        <v>170</v>
      </c>
      <c r="G8" s="9">
        <v>61.79</v>
      </c>
      <c r="H8" s="9">
        <f>IF(G8="","",C8*G8)</f>
        <v>61.79</v>
      </c>
    </row>
    <row r="9" spans="1:8" ht="15" customHeight="1" x14ac:dyDescent="0.2">
      <c r="A9" s="4" t="s">
        <v>192</v>
      </c>
      <c r="B9" s="5"/>
      <c r="C9" s="5"/>
      <c r="D9" s="5"/>
      <c r="E9" s="5"/>
      <c r="F9" s="5"/>
      <c r="G9" s="5"/>
      <c r="H9" s="5"/>
    </row>
    <row r="10" spans="1:8" ht="15" customHeight="1" x14ac:dyDescent="0.2">
      <c r="A10" s="6" t="s">
        <v>44</v>
      </c>
      <c r="B10" s="7" t="s">
        <v>58</v>
      </c>
      <c r="C10" s="6">
        <v>1</v>
      </c>
      <c r="D10" s="6" t="s">
        <v>59</v>
      </c>
      <c r="E10" s="7" t="s">
        <v>60</v>
      </c>
      <c r="F10" s="8"/>
      <c r="G10" s="9">
        <f>8.99/3</f>
        <v>2.9966666666666666</v>
      </c>
      <c r="H10" s="9">
        <f t="shared" ref="H10:H15" si="0">IF(G10="","",C10*G10)</f>
        <v>2.9966666666666666</v>
      </c>
    </row>
    <row r="11" spans="1:8" ht="15" customHeight="1" x14ac:dyDescent="0.2">
      <c r="A11" s="6" t="s">
        <v>49</v>
      </c>
      <c r="B11" s="7" t="s">
        <v>63</v>
      </c>
      <c r="C11" s="6">
        <v>1</v>
      </c>
      <c r="D11" s="6" t="s">
        <v>64</v>
      </c>
      <c r="E11" s="7" t="s">
        <v>65</v>
      </c>
      <c r="F11" s="8" t="s">
        <v>66</v>
      </c>
      <c r="G11" s="9">
        <v>29.95</v>
      </c>
      <c r="H11" s="9">
        <f t="shared" si="0"/>
        <v>29.95</v>
      </c>
    </row>
    <row r="12" spans="1:8" ht="15" customHeight="1" x14ac:dyDescent="0.2">
      <c r="A12" s="6" t="s">
        <v>53</v>
      </c>
      <c r="B12" s="7" t="s">
        <v>68</v>
      </c>
      <c r="C12" s="6">
        <v>1</v>
      </c>
      <c r="D12" s="6" t="s">
        <v>69</v>
      </c>
      <c r="E12" s="7" t="s">
        <v>70</v>
      </c>
      <c r="F12" s="8" t="s">
        <v>71</v>
      </c>
      <c r="G12" s="9">
        <f>12.88/3</f>
        <v>4.2933333333333339</v>
      </c>
      <c r="H12" s="9">
        <f t="shared" si="0"/>
        <v>4.2933333333333339</v>
      </c>
    </row>
    <row r="13" spans="1:8" ht="15" customHeight="1" x14ac:dyDescent="0.2">
      <c r="A13" s="6" t="s">
        <v>171</v>
      </c>
      <c r="B13" s="7" t="s">
        <v>73</v>
      </c>
      <c r="C13" s="6">
        <v>1</v>
      </c>
      <c r="D13" s="6" t="s">
        <v>74</v>
      </c>
      <c r="E13" s="7" t="s">
        <v>75</v>
      </c>
      <c r="F13" s="8" t="s">
        <v>76</v>
      </c>
      <c r="G13" s="9">
        <v>17.5</v>
      </c>
      <c r="H13" s="9">
        <f t="shared" si="0"/>
        <v>17.5</v>
      </c>
    </row>
    <row r="14" spans="1:8" ht="15" customHeight="1" x14ac:dyDescent="0.2">
      <c r="A14" s="6" t="s">
        <v>172</v>
      </c>
      <c r="B14" s="7" t="s">
        <v>86</v>
      </c>
      <c r="C14" s="6">
        <v>1</v>
      </c>
      <c r="D14" s="6"/>
      <c r="E14" s="7" t="s">
        <v>87</v>
      </c>
      <c r="F14" s="8"/>
      <c r="G14" s="9">
        <v>24.49</v>
      </c>
      <c r="H14" s="9">
        <f t="shared" si="0"/>
        <v>24.49</v>
      </c>
    </row>
    <row r="15" spans="1:8" ht="15" customHeight="1" x14ac:dyDescent="0.2">
      <c r="A15" s="6" t="s">
        <v>173</v>
      </c>
      <c r="B15" s="7" t="s">
        <v>97</v>
      </c>
      <c r="C15" s="6">
        <v>1</v>
      </c>
      <c r="D15" s="6"/>
      <c r="E15" s="7" t="s">
        <v>98</v>
      </c>
      <c r="F15" s="8" t="s">
        <v>99</v>
      </c>
      <c r="G15" s="9">
        <v>12.16</v>
      </c>
      <c r="H15" s="9">
        <f t="shared" si="0"/>
        <v>12.16</v>
      </c>
    </row>
    <row r="16" spans="1:8" ht="15" customHeight="1" x14ac:dyDescent="0.2">
      <c r="A16" s="4" t="s">
        <v>193</v>
      </c>
      <c r="B16" s="5"/>
      <c r="C16" s="5"/>
      <c r="D16" s="5"/>
      <c r="E16" s="5"/>
      <c r="F16" s="5"/>
      <c r="G16" s="5"/>
      <c r="H16" s="5"/>
    </row>
    <row r="17" spans="1:8" ht="15" customHeight="1" x14ac:dyDescent="0.2">
      <c r="A17" s="6" t="s">
        <v>57</v>
      </c>
      <c r="B17" s="7" t="s">
        <v>101</v>
      </c>
      <c r="C17" s="6">
        <v>1</v>
      </c>
      <c r="D17" s="6" t="s">
        <v>102</v>
      </c>
      <c r="E17" s="7" t="s">
        <v>103</v>
      </c>
      <c r="F17" s="8" t="s">
        <v>104</v>
      </c>
      <c r="G17" s="9">
        <v>45</v>
      </c>
      <c r="H17" s="9">
        <f>IF(G17="","",C17*G17)</f>
        <v>45</v>
      </c>
    </row>
    <row r="18" spans="1:8" ht="15" customHeight="1" x14ac:dyDescent="0.2">
      <c r="A18" s="4" t="s">
        <v>194</v>
      </c>
      <c r="B18" s="5"/>
      <c r="C18" s="5"/>
      <c r="D18" s="5"/>
      <c r="E18" s="5"/>
      <c r="F18" s="5"/>
      <c r="G18" s="5"/>
      <c r="H18" s="5"/>
    </row>
    <row r="19" spans="1:8" ht="15" customHeight="1" x14ac:dyDescent="0.2">
      <c r="A19" s="6" t="s">
        <v>108</v>
      </c>
      <c r="B19" s="7" t="s">
        <v>174</v>
      </c>
      <c r="C19" s="6">
        <v>1</v>
      </c>
      <c r="D19" s="6" t="s">
        <v>175</v>
      </c>
      <c r="E19" s="7" t="s">
        <v>70</v>
      </c>
      <c r="F19" s="8"/>
      <c r="G19" s="9">
        <v>16.989999999999998</v>
      </c>
      <c r="H19" s="9">
        <f>IF(G19="","",C19*G19)</f>
        <v>16.989999999999998</v>
      </c>
    </row>
    <row r="20" spans="1:8" ht="15" customHeight="1" x14ac:dyDescent="0.2">
      <c r="A20" s="6" t="s">
        <v>113</v>
      </c>
      <c r="B20" s="7" t="s">
        <v>176</v>
      </c>
      <c r="C20" s="6">
        <v>1</v>
      </c>
      <c r="D20" s="6"/>
      <c r="E20" s="7" t="s">
        <v>177</v>
      </c>
      <c r="F20" s="8"/>
      <c r="G20" s="9">
        <v>5.47</v>
      </c>
      <c r="H20" s="9">
        <f>IF(G20="","",C20*G20)</f>
        <v>5.47</v>
      </c>
    </row>
    <row r="21" spans="1:8" ht="15" customHeight="1" x14ac:dyDescent="0.2">
      <c r="A21" s="2"/>
      <c r="B21" s="2"/>
      <c r="C21" s="2"/>
      <c r="D21" s="2"/>
      <c r="E21" s="2"/>
      <c r="F21" s="2"/>
      <c r="G21" s="2"/>
      <c r="H21" s="2"/>
    </row>
    <row r="22" spans="1:8" ht="15" customHeight="1" x14ac:dyDescent="0.2">
      <c r="A22" s="2"/>
      <c r="B22" s="10" t="s">
        <v>162</v>
      </c>
      <c r="C22" s="2"/>
      <c r="D22" s="2"/>
      <c r="E22" s="2"/>
      <c r="F22" s="2"/>
      <c r="G22" s="2"/>
      <c r="H22" s="11">
        <f>SUM(H4:H20)</f>
        <v>654.24833333333333</v>
      </c>
    </row>
    <row r="23" spans="1:8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profiler</vt:lpstr>
      <vt:lpstr>Es surface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Lori Berberian</cp:lastModifiedBy>
  <cp:revision>0</cp:revision>
  <dcterms:created xsi:type="dcterms:W3CDTF">2026-09-08T09:53:07Z</dcterms:created>
  <dcterms:modified xsi:type="dcterms:W3CDTF">2026-09-17T05:23:28Z</dcterms:modified>
  <dc:language>en-US</dc:language>
</cp:coreProperties>
</file>